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금정산2-PC22\Desktop\백엔드 개발 서류\"/>
    </mc:Choice>
  </mc:AlternateContent>
  <xr:revisionPtr revIDLastSave="0" documentId="13_ncr:1_{554BC95E-80E7-4BC2-98D5-82CFCF18160A}" xr6:coauthVersionLast="47" xr6:coauthVersionMax="47" xr10:uidLastSave="{00000000-0000-0000-0000-000000000000}"/>
  <bookViews>
    <workbookView xWindow="1860" yWindow="1770" windowWidth="21600" windowHeight="11385" activeTab="1" xr2:uid="{74FECF13-5326-4A5C-AB23-E9FB335F625A}"/>
  </bookViews>
  <sheets>
    <sheet name="보고서" sheetId="1" r:id="rId1"/>
    <sheet name="업무기록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7" i="2" l="1"/>
  <c r="K18" i="2"/>
  <c r="K19" i="2"/>
  <c r="K20" i="2"/>
  <c r="K21" i="2"/>
  <c r="J17" i="2"/>
  <c r="J18" i="2"/>
  <c r="J19" i="2"/>
  <c r="J20" i="2"/>
  <c r="J21" i="2"/>
  <c r="I17" i="2"/>
  <c r="I18" i="2"/>
  <c r="I19" i="2"/>
  <c r="I20" i="2"/>
  <c r="I21" i="2"/>
  <c r="K11" i="2"/>
  <c r="K12" i="2"/>
  <c r="K13" i="2"/>
  <c r="K14" i="2"/>
  <c r="K15" i="2"/>
  <c r="K16" i="2"/>
  <c r="J11" i="2"/>
  <c r="J12" i="2"/>
  <c r="J13" i="2"/>
  <c r="J14" i="2"/>
  <c r="J15" i="2"/>
  <c r="J16" i="2"/>
  <c r="I11" i="2"/>
  <c r="I12" i="2"/>
  <c r="I13" i="2"/>
  <c r="I14" i="2"/>
  <c r="I15" i="2"/>
  <c r="I16" i="2"/>
  <c r="K4" i="2"/>
  <c r="K5" i="2"/>
  <c r="K6" i="2"/>
  <c r="K7" i="2"/>
  <c r="K8" i="2"/>
  <c r="K9" i="2"/>
  <c r="K10" i="2"/>
  <c r="K3" i="2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3" i="2"/>
  <c r="J3" i="2" s="1"/>
  <c r="C41" i="1" l="1"/>
  <c r="C26" i="1"/>
  <c r="C8" i="1"/>
  <c r="C11" i="1"/>
  <c r="C14" i="1"/>
  <c r="C35" i="1"/>
  <c r="C38" i="1"/>
  <c r="C17" i="1"/>
  <c r="C20" i="1"/>
  <c r="C23" i="1"/>
  <c r="C29" i="1"/>
  <c r="C32" i="1"/>
</calcChain>
</file>

<file path=xl/sharedStrings.xml><?xml version="1.0" encoding="utf-8"?>
<sst xmlns="http://schemas.openxmlformats.org/spreadsheetml/2006/main" count="21" uniqueCount="19">
  <si>
    <t>일일 업무 일지</t>
    <phoneticPr fontId="1" type="noConversion"/>
  </si>
  <si>
    <t>날짜</t>
    <phoneticPr fontId="1" type="noConversion"/>
  </si>
  <si>
    <t>이상욱</t>
    <phoneticPr fontId="1" type="noConversion"/>
  </si>
  <si>
    <t>업무 내용</t>
    <phoneticPr fontId="1" type="noConversion"/>
  </si>
  <si>
    <t>전달 사항</t>
    <phoneticPr fontId="1" type="noConversion"/>
  </si>
  <si>
    <t>1.실적 -&gt; KPI 연동</t>
    <phoneticPr fontId="1" type="noConversion"/>
  </si>
  <si>
    <t>Seq</t>
    <phoneticPr fontId="1" type="noConversion"/>
  </si>
  <si>
    <t>Key</t>
    <phoneticPr fontId="1" type="noConversion"/>
  </si>
  <si>
    <t>깃허브 develop branch pr규칙 추가</t>
    <phoneticPr fontId="1" type="noConversion"/>
  </si>
  <si>
    <t>깃헙 사용 규칙 단톡배포</t>
    <phoneticPr fontId="1" type="noConversion"/>
  </si>
  <si>
    <t>프론트엔드 KPI 수정</t>
    <phoneticPr fontId="1" type="noConversion"/>
  </si>
  <si>
    <t>로그인 화면 수정</t>
    <phoneticPr fontId="1" type="noConversion"/>
  </si>
  <si>
    <t>프론트엔드 구조 파악</t>
    <phoneticPr fontId="1" type="noConversion"/>
  </si>
  <si>
    <t>백엔드 로그인 확인</t>
    <phoneticPr fontId="1" type="noConversion"/>
  </si>
  <si>
    <t>멘토님 면담</t>
    <phoneticPr fontId="1" type="noConversion"/>
  </si>
  <si>
    <t>CMMS 1번 작업</t>
    <phoneticPr fontId="1" type="noConversion"/>
  </si>
  <si>
    <t>장비 유지보수 CMMS 기능명세서 작성</t>
    <phoneticPr fontId="1" type="noConversion"/>
  </si>
  <si>
    <t>CMMS 1번 테스트</t>
    <phoneticPr fontId="1" type="noConversion"/>
  </si>
  <si>
    <t>백엔드 코드 통합 + CMMS 리팩토링 후 테스트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</si>
</sst>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HY견고딕"/>
      <family val="1"/>
      <charset val="129"/>
    </font>
    <font>
      <sz val="36"/>
      <color theme="1"/>
      <name val="HY견고딕"/>
      <family val="1"/>
      <charset val="129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2" fillId="0" borderId="18" xfId="0" applyNumberFormat="1" applyFont="1" applyBorder="1">
      <alignment vertical="center"/>
    </xf>
    <xf numFmtId="0" fontId="2" fillId="0" borderId="17" xfId="0" applyFont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7" xfId="0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4" fontId="2" fillId="0" borderId="19" xfId="0" applyNumberFormat="1" applyFont="1" applyBorder="1" applyAlignment="1">
      <alignment horizontal="center" vertical="center"/>
    </xf>
    <xf numFmtId="14" fontId="2" fillId="0" borderId="20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14" fontId="2" fillId="0" borderId="22" xfId="0" applyNumberFormat="1" applyFont="1" applyBorder="1">
      <alignment vertical="center"/>
    </xf>
    <xf numFmtId="14" fontId="2" fillId="0" borderId="15" xfId="0" applyNumberFormat="1" applyFont="1" applyBorder="1">
      <alignment vertical="center"/>
    </xf>
    <xf numFmtId="14" fontId="2" fillId="0" borderId="16" xfId="0" applyNumberFormat="1" applyFont="1" applyBorder="1">
      <alignment vertical="center"/>
    </xf>
    <xf numFmtId="14" fontId="2" fillId="0" borderId="23" xfId="0" applyNumberFormat="1" applyFont="1" applyBorder="1">
      <alignment vertical="center"/>
    </xf>
    <xf numFmtId="14" fontId="2" fillId="0" borderId="0" xfId="0" applyNumberFormat="1" applyFont="1" applyBorder="1">
      <alignment vertical="center"/>
    </xf>
    <xf numFmtId="14" fontId="2" fillId="0" borderId="8" xfId="0" applyNumberFormat="1" applyFont="1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081AE-AABA-483F-848A-C794F212F1BD}">
  <dimension ref="A1:H43"/>
  <sheetViews>
    <sheetView zoomScaleNormal="100" workbookViewId="0">
      <selection activeCell="A4" sqref="A4:F4"/>
    </sheetView>
  </sheetViews>
  <sheetFormatPr defaultRowHeight="16.5" x14ac:dyDescent="0.3"/>
  <cols>
    <col min="6" max="6" width="11.125" bestFit="1" customWidth="1"/>
    <col min="7" max="7" width="13.625" bestFit="1" customWidth="1"/>
  </cols>
  <sheetData>
    <row r="1" spans="1:8" x14ac:dyDescent="0.3">
      <c r="A1" s="14" t="s">
        <v>0</v>
      </c>
      <c r="B1" s="15"/>
      <c r="C1" s="15"/>
      <c r="D1" s="15"/>
      <c r="E1" s="15"/>
      <c r="F1" s="15"/>
      <c r="G1" s="15"/>
      <c r="H1" s="16"/>
    </row>
    <row r="2" spans="1:8" x14ac:dyDescent="0.3">
      <c r="A2" s="17"/>
      <c r="B2" s="18"/>
      <c r="C2" s="18"/>
      <c r="D2" s="18"/>
      <c r="E2" s="18"/>
      <c r="F2" s="18"/>
      <c r="G2" s="18"/>
      <c r="H2" s="19"/>
    </row>
    <row r="3" spans="1:8" x14ac:dyDescent="0.3">
      <c r="A3" s="17"/>
      <c r="B3" s="18"/>
      <c r="C3" s="18"/>
      <c r="D3" s="18"/>
      <c r="E3" s="18"/>
      <c r="F3" s="18"/>
      <c r="G3" s="18"/>
      <c r="H3" s="19"/>
    </row>
    <row r="4" spans="1:8" x14ac:dyDescent="0.3">
      <c r="A4" s="20" t="s">
        <v>4</v>
      </c>
      <c r="B4" s="21"/>
      <c r="C4" s="21"/>
      <c r="D4" s="21"/>
      <c r="E4" s="21"/>
      <c r="F4" s="22"/>
      <c r="G4" s="3">
        <v>45897</v>
      </c>
      <c r="H4" s="4" t="s">
        <v>2</v>
      </c>
    </row>
    <row r="5" spans="1:8" x14ac:dyDescent="0.3">
      <c r="A5" s="23" t="s">
        <v>5</v>
      </c>
      <c r="B5" s="24"/>
      <c r="C5" s="24"/>
      <c r="D5" s="24"/>
      <c r="E5" s="24"/>
      <c r="F5" s="24"/>
      <c r="G5" s="24"/>
      <c r="H5" s="25"/>
    </row>
    <row r="6" spans="1:8" x14ac:dyDescent="0.3">
      <c r="A6" s="26"/>
      <c r="B6" s="27"/>
      <c r="C6" s="27"/>
      <c r="D6" s="27"/>
      <c r="E6" s="27"/>
      <c r="F6" s="27"/>
      <c r="G6" s="27"/>
      <c r="H6" s="28"/>
    </row>
    <row r="7" spans="1:8" ht="17.25" thickBot="1" x14ac:dyDescent="0.35">
      <c r="A7" s="26"/>
      <c r="B7" s="27"/>
      <c r="C7" s="27"/>
      <c r="D7" s="27"/>
      <c r="E7" s="27"/>
      <c r="F7" s="27"/>
      <c r="G7" s="27"/>
      <c r="H7" s="28"/>
    </row>
    <row r="8" spans="1:8" x14ac:dyDescent="0.3">
      <c r="A8" s="29">
        <v>1</v>
      </c>
      <c r="B8" s="30"/>
      <c r="C8" s="5" t="str">
        <f>IFERROR(VLOOKUP(TEXT($G$4,"yyyy-mm-dd")&amp;"-"&amp;ROW(A1),업무기록!$J$3:$K$100, 2, FALSE), "")</f>
        <v>프론트엔드 KPI 수정</v>
      </c>
      <c r="D8" s="6"/>
      <c r="E8" s="6"/>
      <c r="F8" s="6"/>
      <c r="G8" s="6"/>
      <c r="H8" s="7"/>
    </row>
    <row r="9" spans="1:8" x14ac:dyDescent="0.3">
      <c r="A9" s="31"/>
      <c r="B9" s="32"/>
      <c r="C9" s="8"/>
      <c r="D9" s="9"/>
      <c r="E9" s="9"/>
      <c r="F9" s="9"/>
      <c r="G9" s="9"/>
      <c r="H9" s="10"/>
    </row>
    <row r="10" spans="1:8" ht="17.25" thickBot="1" x14ac:dyDescent="0.35">
      <c r="A10" s="33"/>
      <c r="B10" s="34"/>
      <c r="C10" s="11"/>
      <c r="D10" s="12"/>
      <c r="E10" s="12"/>
      <c r="F10" s="12"/>
      <c r="G10" s="12"/>
      <c r="H10" s="13"/>
    </row>
    <row r="11" spans="1:8" x14ac:dyDescent="0.3">
      <c r="A11" s="29">
        <v>2</v>
      </c>
      <c r="B11" s="30"/>
      <c r="C11" s="5" t="str">
        <f>IFERROR(VLOOKUP(TEXT($G$4,"yyyy-mm-dd")&amp;"-"&amp;ROW(A2),업무기록!$J$3:$K$100,2,FALSE), "")</f>
        <v>로그인 화면 수정</v>
      </c>
      <c r="D11" s="6"/>
      <c r="E11" s="6"/>
      <c r="F11" s="6"/>
      <c r="G11" s="6"/>
      <c r="H11" s="7"/>
    </row>
    <row r="12" spans="1:8" x14ac:dyDescent="0.3">
      <c r="A12" s="31"/>
      <c r="B12" s="32"/>
      <c r="C12" s="8"/>
      <c r="D12" s="9"/>
      <c r="E12" s="9"/>
      <c r="F12" s="9"/>
      <c r="G12" s="9"/>
      <c r="H12" s="10"/>
    </row>
    <row r="13" spans="1:8" ht="17.25" thickBot="1" x14ac:dyDescent="0.35">
      <c r="A13" s="33"/>
      <c r="B13" s="34"/>
      <c r="C13" s="11"/>
      <c r="D13" s="12"/>
      <c r="E13" s="12"/>
      <c r="F13" s="12"/>
      <c r="G13" s="12"/>
      <c r="H13" s="13"/>
    </row>
    <row r="14" spans="1:8" x14ac:dyDescent="0.3">
      <c r="A14" s="29">
        <v>3</v>
      </c>
      <c r="B14" s="30"/>
      <c r="C14" s="5" t="str">
        <f>IFERROR(VLOOKUP(TEXT($G$4,"yyyy-mm-dd")&amp;"-"&amp;ROW(A3),업무기록!$J$3:$K$100,2,FALSE), "")</f>
        <v/>
      </c>
      <c r="D14" s="6"/>
      <c r="E14" s="6"/>
      <c r="F14" s="6"/>
      <c r="G14" s="6"/>
      <c r="H14" s="7"/>
    </row>
    <row r="15" spans="1:8" x14ac:dyDescent="0.3">
      <c r="A15" s="31"/>
      <c r="B15" s="32"/>
      <c r="C15" s="8"/>
      <c r="D15" s="9"/>
      <c r="E15" s="9"/>
      <c r="F15" s="9"/>
      <c r="G15" s="9"/>
      <c r="H15" s="10"/>
    </row>
    <row r="16" spans="1:8" ht="17.25" thickBot="1" x14ac:dyDescent="0.35">
      <c r="A16" s="33"/>
      <c r="B16" s="34"/>
      <c r="C16" s="11"/>
      <c r="D16" s="12"/>
      <c r="E16" s="12"/>
      <c r="F16" s="12"/>
      <c r="G16" s="12"/>
      <c r="H16" s="13"/>
    </row>
    <row r="17" spans="1:8" x14ac:dyDescent="0.3">
      <c r="A17" s="29">
        <v>4</v>
      </c>
      <c r="B17" s="30"/>
      <c r="C17" s="5" t="str">
        <f>IFERROR(VLOOKUP(TEXT($G$4,"yyyy-mm-dd")&amp;"-"&amp;ROW(A4),업무기록!$J$3:$K$100,2,FALSE), "")</f>
        <v/>
      </c>
      <c r="D17" s="6"/>
      <c r="E17" s="6"/>
      <c r="F17" s="6"/>
      <c r="G17" s="6"/>
      <c r="H17" s="7"/>
    </row>
    <row r="18" spans="1:8" x14ac:dyDescent="0.3">
      <c r="A18" s="31"/>
      <c r="B18" s="32"/>
      <c r="C18" s="8"/>
      <c r="D18" s="9"/>
      <c r="E18" s="9"/>
      <c r="F18" s="9"/>
      <c r="G18" s="9"/>
      <c r="H18" s="10"/>
    </row>
    <row r="19" spans="1:8" ht="17.25" thickBot="1" x14ac:dyDescent="0.35">
      <c r="A19" s="33"/>
      <c r="B19" s="34"/>
      <c r="C19" s="11"/>
      <c r="D19" s="12"/>
      <c r="E19" s="12"/>
      <c r="F19" s="12"/>
      <c r="G19" s="12"/>
      <c r="H19" s="13"/>
    </row>
    <row r="20" spans="1:8" x14ac:dyDescent="0.3">
      <c r="A20" s="29">
        <v>5</v>
      </c>
      <c r="B20" s="30"/>
      <c r="C20" s="5" t="str">
        <f>IFERROR(VLOOKUP(TEXT($G$4,"yyyy-mm-dd")&amp;"-"&amp;ROW(A5),업무기록!$J$3:$K$100,2,FALSE), "")</f>
        <v/>
      </c>
      <c r="D20" s="6"/>
      <c r="E20" s="6"/>
      <c r="F20" s="6"/>
      <c r="G20" s="6"/>
      <c r="H20" s="7"/>
    </row>
    <row r="21" spans="1:8" x14ac:dyDescent="0.3">
      <c r="A21" s="31"/>
      <c r="B21" s="32"/>
      <c r="C21" s="8"/>
      <c r="D21" s="9"/>
      <c r="E21" s="9"/>
      <c r="F21" s="9"/>
      <c r="G21" s="9"/>
      <c r="H21" s="10"/>
    </row>
    <row r="22" spans="1:8" ht="17.25" thickBot="1" x14ac:dyDescent="0.35">
      <c r="A22" s="33"/>
      <c r="B22" s="34"/>
      <c r="C22" s="11"/>
      <c r="D22" s="12"/>
      <c r="E22" s="12"/>
      <c r="F22" s="12"/>
      <c r="G22" s="12"/>
      <c r="H22" s="13"/>
    </row>
    <row r="23" spans="1:8" x14ac:dyDescent="0.3">
      <c r="A23" s="29">
        <v>6</v>
      </c>
      <c r="B23" s="30"/>
      <c r="C23" s="5" t="str">
        <f>IFERROR(VLOOKUP(TEXT($G$4,"yyyy-mm-dd")&amp;"-"&amp;ROW(A6),업무기록!$J$3:$K$100,2,FALSE), "")</f>
        <v/>
      </c>
      <c r="D23" s="6"/>
      <c r="E23" s="6"/>
      <c r="F23" s="6"/>
      <c r="G23" s="6"/>
      <c r="H23" s="7"/>
    </row>
    <row r="24" spans="1:8" x14ac:dyDescent="0.3">
      <c r="A24" s="31"/>
      <c r="B24" s="32"/>
      <c r="C24" s="8"/>
      <c r="D24" s="9"/>
      <c r="E24" s="9"/>
      <c r="F24" s="9"/>
      <c r="G24" s="9"/>
      <c r="H24" s="10"/>
    </row>
    <row r="25" spans="1:8" ht="17.25" thickBot="1" x14ac:dyDescent="0.35">
      <c r="A25" s="33"/>
      <c r="B25" s="34"/>
      <c r="C25" s="11"/>
      <c r="D25" s="12"/>
      <c r="E25" s="12"/>
      <c r="F25" s="12"/>
      <c r="G25" s="12"/>
      <c r="H25" s="13"/>
    </row>
    <row r="26" spans="1:8" x14ac:dyDescent="0.3">
      <c r="A26" s="29">
        <v>7</v>
      </c>
      <c r="B26" s="30"/>
      <c r="C26" s="5" t="str">
        <f>IFERROR(VLOOKUP(TEXT($G$4,"yyyy-mm-dd")&amp;"-"&amp;ROW(A7),업무기록!$J$3:$K$100,2,FALSE), "")</f>
        <v/>
      </c>
      <c r="D26" s="6"/>
      <c r="E26" s="6"/>
      <c r="F26" s="6"/>
      <c r="G26" s="6"/>
      <c r="H26" s="7"/>
    </row>
    <row r="27" spans="1:8" x14ac:dyDescent="0.3">
      <c r="A27" s="31"/>
      <c r="B27" s="32"/>
      <c r="C27" s="8"/>
      <c r="D27" s="9"/>
      <c r="E27" s="9"/>
      <c r="F27" s="9"/>
      <c r="G27" s="9"/>
      <c r="H27" s="10"/>
    </row>
    <row r="28" spans="1:8" ht="17.25" thickBot="1" x14ac:dyDescent="0.35">
      <c r="A28" s="33"/>
      <c r="B28" s="34"/>
      <c r="C28" s="11"/>
      <c r="D28" s="12"/>
      <c r="E28" s="12"/>
      <c r="F28" s="12"/>
      <c r="G28" s="12"/>
      <c r="H28" s="13"/>
    </row>
    <row r="29" spans="1:8" x14ac:dyDescent="0.3">
      <c r="A29" s="29">
        <v>8</v>
      </c>
      <c r="B29" s="30"/>
      <c r="C29" s="5" t="str">
        <f>IFERROR(VLOOKUP(TEXT($G$4,"yyyy-mm-dd")&amp;"-"&amp;ROW(A8),업무기록!$J$3:$K$100,2,FALSE), "")</f>
        <v/>
      </c>
      <c r="D29" s="6"/>
      <c r="E29" s="6"/>
      <c r="F29" s="6"/>
      <c r="G29" s="6"/>
      <c r="H29" s="7"/>
    </row>
    <row r="30" spans="1:8" x14ac:dyDescent="0.3">
      <c r="A30" s="31"/>
      <c r="B30" s="32"/>
      <c r="C30" s="8"/>
      <c r="D30" s="9"/>
      <c r="E30" s="9"/>
      <c r="F30" s="9"/>
      <c r="G30" s="9"/>
      <c r="H30" s="10"/>
    </row>
    <row r="31" spans="1:8" ht="17.25" thickBot="1" x14ac:dyDescent="0.35">
      <c r="A31" s="33"/>
      <c r="B31" s="34"/>
      <c r="C31" s="11"/>
      <c r="D31" s="12"/>
      <c r="E31" s="12"/>
      <c r="F31" s="12"/>
      <c r="G31" s="12"/>
      <c r="H31" s="13"/>
    </row>
    <row r="32" spans="1:8" x14ac:dyDescent="0.3">
      <c r="A32" s="29">
        <v>9</v>
      </c>
      <c r="B32" s="30"/>
      <c r="C32" s="5" t="str">
        <f>IFERROR(VLOOKUP(TEXT($G$4,"yyyy-mm-dd")&amp;"-"&amp;ROW(A9),업무기록!$J$3:$K$100,2,FALSE), "")</f>
        <v/>
      </c>
      <c r="D32" s="6"/>
      <c r="E32" s="6"/>
      <c r="F32" s="6"/>
      <c r="G32" s="6"/>
      <c r="H32" s="7"/>
    </row>
    <row r="33" spans="1:8" x14ac:dyDescent="0.3">
      <c r="A33" s="31"/>
      <c r="B33" s="32"/>
      <c r="C33" s="8"/>
      <c r="D33" s="9"/>
      <c r="E33" s="9"/>
      <c r="F33" s="9"/>
      <c r="G33" s="9"/>
      <c r="H33" s="10"/>
    </row>
    <row r="34" spans="1:8" ht="17.25" thickBot="1" x14ac:dyDescent="0.35">
      <c r="A34" s="33"/>
      <c r="B34" s="34"/>
      <c r="C34" s="11"/>
      <c r="D34" s="12"/>
      <c r="E34" s="12"/>
      <c r="F34" s="12"/>
      <c r="G34" s="12"/>
      <c r="H34" s="13"/>
    </row>
    <row r="35" spans="1:8" x14ac:dyDescent="0.3">
      <c r="A35" s="29">
        <v>10</v>
      </c>
      <c r="B35" s="30"/>
      <c r="C35" s="5" t="str">
        <f>IFERROR(VLOOKUP(TEXT($G$4,"yyyy-mm-dd")&amp;"-"&amp;ROW(A10),업무기록!$J$3:$K$100,2,FALSE), "")</f>
        <v/>
      </c>
      <c r="D35" s="6"/>
      <c r="E35" s="6"/>
      <c r="F35" s="6"/>
      <c r="G35" s="6"/>
      <c r="H35" s="7"/>
    </row>
    <row r="36" spans="1:8" x14ac:dyDescent="0.3">
      <c r="A36" s="31"/>
      <c r="B36" s="32"/>
      <c r="C36" s="8"/>
      <c r="D36" s="9"/>
      <c r="E36" s="9"/>
      <c r="F36" s="9"/>
      <c r="G36" s="9"/>
      <c r="H36" s="10"/>
    </row>
    <row r="37" spans="1:8" ht="17.25" thickBot="1" x14ac:dyDescent="0.35">
      <c r="A37" s="33"/>
      <c r="B37" s="34"/>
      <c r="C37" s="11"/>
      <c r="D37" s="12"/>
      <c r="E37" s="12"/>
      <c r="F37" s="12"/>
      <c r="G37" s="12"/>
      <c r="H37" s="13"/>
    </row>
    <row r="38" spans="1:8" x14ac:dyDescent="0.3">
      <c r="A38" s="29">
        <v>11</v>
      </c>
      <c r="B38" s="30"/>
      <c r="C38" s="5" t="str">
        <f>IFERROR(VLOOKUP(TEXT($G$4,"yyyy-mm-dd")&amp;"-"&amp;ROW(A11),업무기록!$J$3:$K$100,2,FALSE), "")</f>
        <v/>
      </c>
      <c r="D38" s="6"/>
      <c r="E38" s="6"/>
      <c r="F38" s="6"/>
      <c r="G38" s="6"/>
      <c r="H38" s="7"/>
    </row>
    <row r="39" spans="1:8" x14ac:dyDescent="0.3">
      <c r="A39" s="31"/>
      <c r="B39" s="32"/>
      <c r="C39" s="8"/>
      <c r="D39" s="9"/>
      <c r="E39" s="9"/>
      <c r="F39" s="9"/>
      <c r="G39" s="9"/>
      <c r="H39" s="10"/>
    </row>
    <row r="40" spans="1:8" ht="17.25" thickBot="1" x14ac:dyDescent="0.35">
      <c r="A40" s="33"/>
      <c r="B40" s="34"/>
      <c r="C40" s="11"/>
      <c r="D40" s="12"/>
      <c r="E40" s="12"/>
      <c r="F40" s="12"/>
      <c r="G40" s="12"/>
      <c r="H40" s="13"/>
    </row>
    <row r="41" spans="1:8" x14ac:dyDescent="0.3">
      <c r="A41" s="29">
        <v>12</v>
      </c>
      <c r="B41" s="30"/>
      <c r="C41" s="5" t="str">
        <f>IFERROR(VLOOKUP(TEXT($G$4,"yyyy-mm-dd")&amp;"-"&amp;ROW(A12),업무기록!$J$3:$K$100,2,FALSE), "")</f>
        <v/>
      </c>
      <c r="D41" s="6"/>
      <c r="E41" s="6"/>
      <c r="F41" s="6"/>
      <c r="G41" s="6"/>
      <c r="H41" s="7"/>
    </row>
    <row r="42" spans="1:8" x14ac:dyDescent="0.3">
      <c r="A42" s="31"/>
      <c r="B42" s="32"/>
      <c r="C42" s="8"/>
      <c r="D42" s="9"/>
      <c r="E42" s="9"/>
      <c r="F42" s="9"/>
      <c r="G42" s="9"/>
      <c r="H42" s="10"/>
    </row>
    <row r="43" spans="1:8" ht="17.25" thickBot="1" x14ac:dyDescent="0.35">
      <c r="A43" s="33"/>
      <c r="B43" s="34"/>
      <c r="C43" s="11"/>
      <c r="D43" s="12"/>
      <c r="E43" s="12"/>
      <c r="F43" s="12"/>
      <c r="G43" s="12"/>
      <c r="H43" s="13"/>
    </row>
  </sheetData>
  <sortState xmlns:xlrd2="http://schemas.microsoft.com/office/spreadsheetml/2017/richdata2" ref="A8:B43">
    <sortCondition ref="A8:A43"/>
  </sortState>
  <mergeCells count="27">
    <mergeCell ref="A41:B43"/>
    <mergeCell ref="A8:B10"/>
    <mergeCell ref="A11:B13"/>
    <mergeCell ref="A14:B16"/>
    <mergeCell ref="A17:B19"/>
    <mergeCell ref="A20:B22"/>
    <mergeCell ref="A23:B25"/>
    <mergeCell ref="A26:B28"/>
    <mergeCell ref="A29:B31"/>
    <mergeCell ref="A32:B34"/>
    <mergeCell ref="A35:B37"/>
    <mergeCell ref="A38:B40"/>
    <mergeCell ref="A1:H3"/>
    <mergeCell ref="A4:F4"/>
    <mergeCell ref="A5:H7"/>
    <mergeCell ref="C8:H10"/>
    <mergeCell ref="C11:H13"/>
    <mergeCell ref="C14:H16"/>
    <mergeCell ref="C17:H19"/>
    <mergeCell ref="C20:H22"/>
    <mergeCell ref="C23:H25"/>
    <mergeCell ref="C26:H28"/>
    <mergeCell ref="C29:H31"/>
    <mergeCell ref="C32:H34"/>
    <mergeCell ref="C35:H37"/>
    <mergeCell ref="C38:H40"/>
    <mergeCell ref="C41:H4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FAE33-8F9A-42F1-B625-C96B3D24B2EA}">
  <dimension ref="A1:Q21"/>
  <sheetViews>
    <sheetView tabSelected="1" topLeftCell="A4" zoomScaleNormal="100" workbookViewId="0">
      <selection activeCell="K10" sqref="K10:Q10"/>
    </sheetView>
  </sheetViews>
  <sheetFormatPr defaultRowHeight="16.5" x14ac:dyDescent="0.3"/>
  <cols>
    <col min="1" max="1" width="11.125" bestFit="1" customWidth="1"/>
    <col min="10" max="10" width="17" customWidth="1"/>
  </cols>
  <sheetData>
    <row r="1" spans="1:17" x14ac:dyDescent="0.3">
      <c r="A1" s="39" t="s">
        <v>1</v>
      </c>
      <c r="B1" s="38" t="s">
        <v>3</v>
      </c>
      <c r="C1" s="38"/>
      <c r="D1" s="38"/>
      <c r="E1" s="38"/>
      <c r="F1" s="38"/>
      <c r="G1" s="38"/>
      <c r="H1" s="38"/>
      <c r="I1" s="39" t="s">
        <v>6</v>
      </c>
      <c r="J1" s="39" t="s">
        <v>7</v>
      </c>
      <c r="K1" s="38" t="s">
        <v>3</v>
      </c>
      <c r="L1" s="38"/>
      <c r="M1" s="38"/>
      <c r="N1" s="38"/>
      <c r="O1" s="38"/>
      <c r="P1" s="38"/>
      <c r="Q1" s="38"/>
    </row>
    <row r="2" spans="1:17" x14ac:dyDescent="0.3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</row>
    <row r="3" spans="1:17" x14ac:dyDescent="0.3">
      <c r="A3" s="1">
        <v>45896</v>
      </c>
      <c r="B3" s="35" t="s">
        <v>8</v>
      </c>
      <c r="C3" s="36"/>
      <c r="D3" s="36"/>
      <c r="E3" s="36"/>
      <c r="F3" s="36"/>
      <c r="G3" s="36"/>
      <c r="H3" s="37"/>
      <c r="I3" s="2">
        <f>COUNTIF($A$3:A3, A3)</f>
        <v>1</v>
      </c>
      <c r="J3" s="2" t="str">
        <f>TEXT(A3, "yyyy-mm-dd")&amp;"-"&amp;I3</f>
        <v>2025-08-27-1</v>
      </c>
      <c r="K3" s="35" t="str">
        <f>IF(B3="","",B3)</f>
        <v>깃허브 develop branch pr규칙 추가</v>
      </c>
      <c r="L3" s="36"/>
      <c r="M3" s="36"/>
      <c r="N3" s="36"/>
      <c r="O3" s="36"/>
      <c r="P3" s="36"/>
      <c r="Q3" s="37"/>
    </row>
    <row r="4" spans="1:17" x14ac:dyDescent="0.3">
      <c r="A4" s="1">
        <v>45896</v>
      </c>
      <c r="B4" s="35" t="s">
        <v>9</v>
      </c>
      <c r="C4" s="36"/>
      <c r="D4" s="36"/>
      <c r="E4" s="36"/>
      <c r="F4" s="36"/>
      <c r="G4" s="36"/>
      <c r="H4" s="37"/>
      <c r="I4" s="2">
        <f>COUNTIF($A$3:A4, A4)</f>
        <v>2</v>
      </c>
      <c r="J4" s="2" t="str">
        <f t="shared" ref="J4:J21" si="0">TEXT(A4, "yyyy-mm-dd")&amp;"-"&amp;I4</f>
        <v>2025-08-27-2</v>
      </c>
      <c r="K4" s="35" t="str">
        <f t="shared" ref="K4:K10" si="1">IF(B4="","",B4)</f>
        <v>깃헙 사용 규칙 단톡배포</v>
      </c>
      <c r="L4" s="36"/>
      <c r="M4" s="36"/>
      <c r="N4" s="36"/>
      <c r="O4" s="36"/>
      <c r="P4" s="36"/>
      <c r="Q4" s="37"/>
    </row>
    <row r="5" spans="1:17" x14ac:dyDescent="0.3">
      <c r="A5" s="1">
        <v>45897</v>
      </c>
      <c r="B5" s="35" t="s">
        <v>10</v>
      </c>
      <c r="C5" s="36"/>
      <c r="D5" s="36"/>
      <c r="E5" s="36"/>
      <c r="F5" s="36"/>
      <c r="G5" s="36"/>
      <c r="H5" s="37"/>
      <c r="I5" s="2">
        <f>COUNTIF($A$3:A5, A5)</f>
        <v>1</v>
      </c>
      <c r="J5" s="2" t="str">
        <f t="shared" si="0"/>
        <v>2025-08-28-1</v>
      </c>
      <c r="K5" s="35" t="str">
        <f t="shared" si="1"/>
        <v>프론트엔드 KPI 수정</v>
      </c>
      <c r="L5" s="36"/>
      <c r="M5" s="36"/>
      <c r="N5" s="36"/>
      <c r="O5" s="36"/>
      <c r="P5" s="36"/>
      <c r="Q5" s="37"/>
    </row>
    <row r="6" spans="1:17" x14ac:dyDescent="0.3">
      <c r="A6" s="1">
        <v>45897</v>
      </c>
      <c r="B6" s="35" t="s">
        <v>11</v>
      </c>
      <c r="C6" s="36"/>
      <c r="D6" s="36"/>
      <c r="E6" s="36"/>
      <c r="F6" s="36"/>
      <c r="G6" s="36"/>
      <c r="H6" s="37"/>
      <c r="I6" s="2">
        <f>COUNTIF($A$3:A6, A6)</f>
        <v>2</v>
      </c>
      <c r="J6" s="2" t="str">
        <f t="shared" si="0"/>
        <v>2025-08-28-2</v>
      </c>
      <c r="K6" s="35" t="str">
        <f t="shared" si="1"/>
        <v>로그인 화면 수정</v>
      </c>
      <c r="L6" s="36"/>
      <c r="M6" s="36"/>
      <c r="N6" s="36"/>
      <c r="O6" s="36"/>
      <c r="P6" s="36"/>
      <c r="Q6" s="37"/>
    </row>
    <row r="7" spans="1:17" x14ac:dyDescent="0.3">
      <c r="A7" s="1">
        <v>45898</v>
      </c>
      <c r="B7" s="35" t="s">
        <v>12</v>
      </c>
      <c r="C7" s="36"/>
      <c r="D7" s="36"/>
      <c r="E7" s="36"/>
      <c r="F7" s="36"/>
      <c r="G7" s="36"/>
      <c r="H7" s="37"/>
      <c r="I7" s="2">
        <f>COUNTIF($A$3:A7, A7)</f>
        <v>1</v>
      </c>
      <c r="J7" s="2" t="str">
        <f t="shared" si="0"/>
        <v>2025-08-29-1</v>
      </c>
      <c r="K7" s="35" t="str">
        <f t="shared" si="1"/>
        <v>프론트엔드 구조 파악</v>
      </c>
      <c r="L7" s="36"/>
      <c r="M7" s="36"/>
      <c r="N7" s="36"/>
      <c r="O7" s="36"/>
      <c r="P7" s="36"/>
      <c r="Q7" s="37"/>
    </row>
    <row r="8" spans="1:17" x14ac:dyDescent="0.3">
      <c r="A8" s="1">
        <v>45898</v>
      </c>
      <c r="B8" s="35" t="s">
        <v>13</v>
      </c>
      <c r="C8" s="36"/>
      <c r="D8" s="36"/>
      <c r="E8" s="36"/>
      <c r="F8" s="36"/>
      <c r="G8" s="36"/>
      <c r="H8" s="37"/>
      <c r="I8" s="2">
        <f>COUNTIF($A$3:A8, A8)</f>
        <v>2</v>
      </c>
      <c r="J8" s="2" t="str">
        <f t="shared" si="0"/>
        <v>2025-08-29-2</v>
      </c>
      <c r="K8" s="35" t="str">
        <f t="shared" si="1"/>
        <v>백엔드 로그인 확인</v>
      </c>
      <c r="L8" s="36"/>
      <c r="M8" s="36"/>
      <c r="N8" s="36"/>
      <c r="O8" s="36"/>
      <c r="P8" s="36"/>
      <c r="Q8" s="37"/>
    </row>
    <row r="9" spans="1:17" x14ac:dyDescent="0.3">
      <c r="A9" s="1">
        <v>45899</v>
      </c>
      <c r="B9" s="35" t="s">
        <v>14</v>
      </c>
      <c r="C9" s="36"/>
      <c r="D9" s="36"/>
      <c r="E9" s="36"/>
      <c r="F9" s="36"/>
      <c r="G9" s="36"/>
      <c r="H9" s="37"/>
      <c r="I9" s="2">
        <f>COUNTIF($A$3:A9, A9)</f>
        <v>1</v>
      </c>
      <c r="J9" s="2" t="str">
        <f t="shared" si="0"/>
        <v>2025-08-30-1</v>
      </c>
      <c r="K9" s="35" t="str">
        <f t="shared" si="1"/>
        <v>멘토님 면담</v>
      </c>
      <c r="L9" s="36"/>
      <c r="M9" s="36"/>
      <c r="N9" s="36"/>
      <c r="O9" s="36"/>
      <c r="P9" s="36"/>
      <c r="Q9" s="37"/>
    </row>
    <row r="10" spans="1:17" x14ac:dyDescent="0.3">
      <c r="A10" s="1">
        <v>45900</v>
      </c>
      <c r="B10" s="35"/>
      <c r="C10" s="36"/>
      <c r="D10" s="36"/>
      <c r="E10" s="36"/>
      <c r="F10" s="36"/>
      <c r="G10" s="36"/>
      <c r="H10" s="37"/>
      <c r="I10" s="2">
        <f>COUNTIF($A$3:A10, A10)</f>
        <v>1</v>
      </c>
      <c r="J10" s="2" t="str">
        <f t="shared" si="0"/>
        <v>2025-08-31-1</v>
      </c>
      <c r="K10" s="35" t="str">
        <f t="shared" si="1"/>
        <v/>
      </c>
      <c r="L10" s="36"/>
      <c r="M10" s="36"/>
      <c r="N10" s="36"/>
      <c r="O10" s="36"/>
      <c r="P10" s="36"/>
      <c r="Q10" s="37"/>
    </row>
    <row r="11" spans="1:17" x14ac:dyDescent="0.3">
      <c r="A11" s="1">
        <v>45901</v>
      </c>
      <c r="B11" s="35" t="s">
        <v>16</v>
      </c>
      <c r="C11" s="36"/>
      <c r="D11" s="36"/>
      <c r="E11" s="36"/>
      <c r="F11" s="36"/>
      <c r="G11" s="36"/>
      <c r="H11" s="37"/>
      <c r="I11" s="2">
        <f>COUNTIF($A$3:A11, A11)</f>
        <v>1</v>
      </c>
      <c r="J11" s="2" t="str">
        <f t="shared" si="0"/>
        <v>2025-09-01-1</v>
      </c>
      <c r="K11" s="35" t="str">
        <f t="shared" ref="K11:K16" si="2">IF(B11="","",B11)</f>
        <v>장비 유지보수 CMMS 기능명세서 작성</v>
      </c>
      <c r="L11" s="36"/>
      <c r="M11" s="36"/>
      <c r="N11" s="36"/>
      <c r="O11" s="36"/>
      <c r="P11" s="36"/>
      <c r="Q11" s="37"/>
    </row>
    <row r="12" spans="1:17" x14ac:dyDescent="0.3">
      <c r="A12" s="1">
        <v>45902</v>
      </c>
      <c r="B12" s="35" t="s">
        <v>15</v>
      </c>
      <c r="C12" s="36"/>
      <c r="D12" s="36"/>
      <c r="E12" s="36"/>
      <c r="F12" s="36"/>
      <c r="G12" s="36"/>
      <c r="H12" s="37"/>
      <c r="I12" s="2">
        <f>COUNTIF($A$3:A12, A12)</f>
        <v>1</v>
      </c>
      <c r="J12" s="2" t="str">
        <f t="shared" si="0"/>
        <v>2025-09-02-1</v>
      </c>
      <c r="K12" s="35" t="str">
        <f t="shared" si="2"/>
        <v>CMMS 1번 작업</v>
      </c>
      <c r="L12" s="36"/>
      <c r="M12" s="36"/>
      <c r="N12" s="36"/>
      <c r="O12" s="36"/>
      <c r="P12" s="36"/>
      <c r="Q12" s="37"/>
    </row>
    <row r="13" spans="1:17" x14ac:dyDescent="0.3">
      <c r="A13" s="1">
        <v>45903</v>
      </c>
      <c r="B13" s="35" t="s">
        <v>15</v>
      </c>
      <c r="C13" s="36"/>
      <c r="D13" s="36"/>
      <c r="E13" s="36"/>
      <c r="F13" s="36"/>
      <c r="G13" s="36"/>
      <c r="H13" s="37"/>
      <c r="I13" s="2">
        <f>COUNTIF($A$3:A13, A13)</f>
        <v>1</v>
      </c>
      <c r="J13" s="2" t="str">
        <f t="shared" si="0"/>
        <v>2025-09-03-1</v>
      </c>
      <c r="K13" s="35" t="str">
        <f t="shared" si="2"/>
        <v>CMMS 1번 작업</v>
      </c>
      <c r="L13" s="36"/>
      <c r="M13" s="36"/>
      <c r="N13" s="36"/>
      <c r="O13" s="36"/>
      <c r="P13" s="36"/>
      <c r="Q13" s="37"/>
    </row>
    <row r="14" spans="1:17" x14ac:dyDescent="0.3">
      <c r="A14" s="1">
        <v>45904</v>
      </c>
      <c r="B14" s="35" t="s">
        <v>17</v>
      </c>
      <c r="C14" s="36"/>
      <c r="D14" s="36"/>
      <c r="E14" s="36"/>
      <c r="F14" s="36"/>
      <c r="G14" s="36"/>
      <c r="H14" s="37"/>
      <c r="I14" s="2">
        <f>COUNTIF($A$3:A14, A14)</f>
        <v>1</v>
      </c>
      <c r="J14" s="2" t="str">
        <f t="shared" si="0"/>
        <v>2025-09-04-1</v>
      </c>
      <c r="K14" s="35" t="str">
        <f t="shared" si="2"/>
        <v>CMMS 1번 테스트</v>
      </c>
      <c r="L14" s="36"/>
      <c r="M14" s="36"/>
      <c r="N14" s="36"/>
      <c r="O14" s="36"/>
      <c r="P14" s="36"/>
      <c r="Q14" s="37"/>
    </row>
    <row r="15" spans="1:17" x14ac:dyDescent="0.3">
      <c r="A15" s="1">
        <v>45905</v>
      </c>
      <c r="B15" s="35"/>
      <c r="C15" s="36"/>
      <c r="D15" s="36"/>
      <c r="E15" s="36"/>
      <c r="F15" s="36"/>
      <c r="G15" s="36"/>
      <c r="H15" s="37"/>
      <c r="I15" s="2">
        <f>COUNTIF($A$3:A15, A15)</f>
        <v>1</v>
      </c>
      <c r="J15" s="2" t="str">
        <f t="shared" si="0"/>
        <v>2025-09-05-1</v>
      </c>
      <c r="K15" s="35" t="str">
        <f t="shared" si="2"/>
        <v/>
      </c>
      <c r="L15" s="36"/>
      <c r="M15" s="36"/>
      <c r="N15" s="36"/>
      <c r="O15" s="36"/>
      <c r="P15" s="36"/>
      <c r="Q15" s="37"/>
    </row>
    <row r="16" spans="1:17" x14ac:dyDescent="0.3">
      <c r="A16" s="1">
        <v>45906</v>
      </c>
      <c r="B16" s="35"/>
      <c r="C16" s="36"/>
      <c r="D16" s="36"/>
      <c r="E16" s="36"/>
      <c r="F16" s="36"/>
      <c r="G16" s="36"/>
      <c r="H16" s="37"/>
      <c r="I16" s="2">
        <f>COUNTIF($A$3:A16, A16)</f>
        <v>1</v>
      </c>
      <c r="J16" s="2" t="str">
        <f t="shared" si="0"/>
        <v>2025-09-06-1</v>
      </c>
      <c r="K16" s="35" t="str">
        <f t="shared" si="2"/>
        <v/>
      </c>
      <c r="L16" s="36"/>
      <c r="M16" s="36"/>
      <c r="N16" s="36"/>
      <c r="O16" s="36"/>
      <c r="P16" s="36"/>
      <c r="Q16" s="37"/>
    </row>
    <row r="17" spans="1:17" x14ac:dyDescent="0.3">
      <c r="A17" s="1">
        <v>45907</v>
      </c>
      <c r="B17" s="35"/>
      <c r="C17" s="36"/>
      <c r="D17" s="36"/>
      <c r="E17" s="36"/>
      <c r="F17" s="36"/>
      <c r="G17" s="36"/>
      <c r="H17" s="37"/>
      <c r="I17" s="2">
        <f>COUNTIF($A$3:A17, A17)</f>
        <v>1</v>
      </c>
      <c r="J17" s="2" t="str">
        <f t="shared" si="0"/>
        <v>2025-09-07-1</v>
      </c>
      <c r="K17" s="35" t="str">
        <f t="shared" ref="K17:K21" si="3">IF(B17="","",B17)</f>
        <v/>
      </c>
      <c r="L17" s="36"/>
      <c r="M17" s="36"/>
      <c r="N17" s="36"/>
      <c r="O17" s="36"/>
      <c r="P17" s="36"/>
      <c r="Q17" s="37"/>
    </row>
    <row r="18" spans="1:17" x14ac:dyDescent="0.3">
      <c r="A18" s="1">
        <v>45908</v>
      </c>
      <c r="B18" s="35"/>
      <c r="C18" s="36"/>
      <c r="D18" s="36"/>
      <c r="E18" s="36"/>
      <c r="F18" s="36"/>
      <c r="G18" s="36"/>
      <c r="H18" s="37"/>
      <c r="I18" s="2">
        <f>COUNTIF($A$3:A18, A18)</f>
        <v>1</v>
      </c>
      <c r="J18" s="2" t="str">
        <f t="shared" si="0"/>
        <v>2025-09-08-1</v>
      </c>
      <c r="K18" s="35" t="str">
        <f t="shared" si="3"/>
        <v/>
      </c>
      <c r="L18" s="36"/>
      <c r="M18" s="36"/>
      <c r="N18" s="36"/>
      <c r="O18" s="36"/>
      <c r="P18" s="36"/>
      <c r="Q18" s="37"/>
    </row>
    <row r="19" spans="1:17" x14ac:dyDescent="0.3">
      <c r="A19" s="1">
        <v>45909</v>
      </c>
      <c r="B19" s="35"/>
      <c r="C19" s="36"/>
      <c r="D19" s="36"/>
      <c r="E19" s="36"/>
      <c r="F19" s="36"/>
      <c r="G19" s="36"/>
      <c r="H19" s="37"/>
      <c r="I19" s="2">
        <f>COUNTIF($A$3:A19, A19)</f>
        <v>1</v>
      </c>
      <c r="J19" s="2" t="str">
        <f t="shared" si="0"/>
        <v>2025-09-09-1</v>
      </c>
      <c r="K19" s="35" t="str">
        <f t="shared" si="3"/>
        <v/>
      </c>
      <c r="L19" s="36"/>
      <c r="M19" s="36"/>
      <c r="N19" s="36"/>
      <c r="O19" s="36"/>
      <c r="P19" s="36"/>
      <c r="Q19" s="37"/>
    </row>
    <row r="20" spans="1:17" x14ac:dyDescent="0.3">
      <c r="A20" s="1">
        <v>45910</v>
      </c>
      <c r="B20" s="35" t="s">
        <v>18</v>
      </c>
      <c r="C20" s="36"/>
      <c r="D20" s="36"/>
      <c r="E20" s="36"/>
      <c r="F20" s="36"/>
      <c r="G20" s="36"/>
      <c r="H20" s="37"/>
      <c r="I20" s="2">
        <f>COUNTIF($A$3:A20, A20)</f>
        <v>1</v>
      </c>
      <c r="J20" s="2" t="str">
        <f t="shared" si="0"/>
        <v>2025-09-10-1</v>
      </c>
      <c r="K20" s="35" t="str">
        <f t="shared" si="3"/>
        <v>백엔드 코드 통합 + CMMS 리팩토링 후 테스트</v>
      </c>
      <c r="L20" s="36"/>
      <c r="M20" s="36"/>
      <c r="N20" s="36"/>
      <c r="O20" s="36"/>
      <c r="P20" s="36"/>
      <c r="Q20" s="37"/>
    </row>
    <row r="21" spans="1:17" x14ac:dyDescent="0.3">
      <c r="A21" s="1">
        <v>45911</v>
      </c>
      <c r="B21" s="35"/>
      <c r="C21" s="36"/>
      <c r="D21" s="36"/>
      <c r="E21" s="36"/>
      <c r="F21" s="36"/>
      <c r="G21" s="36"/>
      <c r="H21" s="37"/>
      <c r="I21" s="2">
        <f>COUNTIF($A$3:A21, A21)</f>
        <v>1</v>
      </c>
      <c r="J21" s="2" t="str">
        <f t="shared" si="0"/>
        <v>2025-09-11-1</v>
      </c>
      <c r="K21" s="35" t="str">
        <f t="shared" si="3"/>
        <v/>
      </c>
      <c r="L21" s="36"/>
      <c r="M21" s="36"/>
      <c r="N21" s="36"/>
      <c r="O21" s="36"/>
      <c r="P21" s="36"/>
      <c r="Q21" s="37"/>
    </row>
  </sheetData>
  <mergeCells count="43">
    <mergeCell ref="K17:Q17"/>
    <mergeCell ref="K18:Q18"/>
    <mergeCell ref="K19:Q19"/>
    <mergeCell ref="K20:Q20"/>
    <mergeCell ref="K21:Q21"/>
    <mergeCell ref="B17:H17"/>
    <mergeCell ref="B18:H18"/>
    <mergeCell ref="B19:H19"/>
    <mergeCell ref="B20:H20"/>
    <mergeCell ref="B21:H21"/>
    <mergeCell ref="B16:H16"/>
    <mergeCell ref="K11:Q11"/>
    <mergeCell ref="K12:Q12"/>
    <mergeCell ref="K13:Q13"/>
    <mergeCell ref="K14:Q14"/>
    <mergeCell ref="K15:Q15"/>
    <mergeCell ref="K16:Q16"/>
    <mergeCell ref="B11:H11"/>
    <mergeCell ref="B12:H12"/>
    <mergeCell ref="B13:H13"/>
    <mergeCell ref="B14:H14"/>
    <mergeCell ref="B15:H15"/>
    <mergeCell ref="A1:A2"/>
    <mergeCell ref="I1:I2"/>
    <mergeCell ref="J1:J2"/>
    <mergeCell ref="K1:Q2"/>
    <mergeCell ref="B3:H3"/>
    <mergeCell ref="B4:H4"/>
    <mergeCell ref="K3:Q3"/>
    <mergeCell ref="K4:Q4"/>
    <mergeCell ref="B1:H2"/>
    <mergeCell ref="K10:Q10"/>
    <mergeCell ref="B5:H5"/>
    <mergeCell ref="B6:H6"/>
    <mergeCell ref="B7:H7"/>
    <mergeCell ref="B8:H8"/>
    <mergeCell ref="B9:H9"/>
    <mergeCell ref="B10:H10"/>
    <mergeCell ref="K5:Q5"/>
    <mergeCell ref="K6:Q6"/>
    <mergeCell ref="K7:Q7"/>
    <mergeCell ref="K8:Q8"/>
    <mergeCell ref="K9:Q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보고서</vt:lpstr>
      <vt:lpstr>업무기록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금정산2-PC22</dc:creator>
  <cp:lastModifiedBy>금정산2-PC22</cp:lastModifiedBy>
  <dcterms:created xsi:type="dcterms:W3CDTF">2025-08-26T01:47:40Z</dcterms:created>
  <dcterms:modified xsi:type="dcterms:W3CDTF">2025-09-11T00:19:12Z</dcterms:modified>
</cp:coreProperties>
</file>